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GitHub\SH-Sound-Board\Deliverables\BOM\"/>
    </mc:Choice>
  </mc:AlternateContent>
  <xr:revisionPtr revIDLastSave="0" documentId="13_ncr:1_{9968A76B-5502-4D68-81FC-FFB2A3F777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" i="1" l="1"/>
  <c r="S9" i="1" s="1"/>
  <c r="Q8" i="1"/>
  <c r="S5" i="1"/>
  <c r="Q5" i="1"/>
  <c r="S6" i="1"/>
  <c r="Q6" i="1"/>
  <c r="S3" i="1"/>
  <c r="Q3" i="1"/>
  <c r="S4" i="1"/>
  <c r="Q4" i="1"/>
  <c r="L5" i="1"/>
  <c r="L6" i="1"/>
  <c r="L7" i="1"/>
  <c r="L3" i="1"/>
  <c r="L4" i="1"/>
  <c r="K7" i="1"/>
  <c r="K6" i="1"/>
  <c r="K5" i="1"/>
  <c r="K4" i="1"/>
  <c r="K3" i="1"/>
  <c r="Q9" i="1" l="1"/>
</calcChain>
</file>

<file path=xl/sharedStrings.xml><?xml version="1.0" encoding="utf-8"?>
<sst xmlns="http://schemas.openxmlformats.org/spreadsheetml/2006/main" count="73" uniqueCount="52">
  <si>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</si>
  <si>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</si>
  <si>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</si>
  <si>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</si>
  <si>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</si>
  <si>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</si>
  <si>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</si>
  <si>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</si>
  <si>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</si>
  <si>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</si>
  <si>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</si>
  <si>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Link</t>
  </si>
  <si>
    <t>Unit Cost(5)</t>
  </si>
  <si>
    <t>Total Cost(5)</t>
  </si>
  <si>
    <t>Remarks</t>
  </si>
  <si>
    <t>-------</t>
  </si>
  <si>
    <t>Custom</t>
  </si>
  <si>
    <t>Resistor</t>
  </si>
  <si>
    <t>J1</t>
  </si>
  <si>
    <t xml:space="preserve">Total Component Cost </t>
  </si>
  <si>
    <t>Single Board Cost</t>
  </si>
  <si>
    <t>Connector</t>
  </si>
  <si>
    <t>1x5P 1 3.96mm Male pin 5 Shrouded Plugin,P=3.96mm Wire To Board / Wire To Wire Connector ROHS</t>
  </si>
  <si>
    <t>M3960R-05P</t>
  </si>
  <si>
    <t>CONN RCPT 5POS 0.156 GOLD PCB</t>
  </si>
  <si>
    <t>J2</t>
  </si>
  <si>
    <t>0009483054</t>
  </si>
  <si>
    <t>3.5mm headphone jack 30V 500mA Plugin Audio Connectors ROHS</t>
  </si>
  <si>
    <t>J3</t>
  </si>
  <si>
    <t>PJ-307C</t>
  </si>
  <si>
    <t>Test Point ON</t>
  </si>
  <si>
    <t>P1, P2</t>
  </si>
  <si>
    <t>TEST POINT</t>
  </si>
  <si>
    <t>RES ARRAY 4 RES 220 OHM 8SIP</t>
  </si>
  <si>
    <t>R1</t>
  </si>
  <si>
    <t>4608X-102-221LF</t>
  </si>
  <si>
    <t>Bill of Material (BOM) for SH_Sound_Board</t>
  </si>
  <si>
    <t xml:space="preserve">XFCN </t>
  </si>
  <si>
    <t>------</t>
  </si>
  <si>
    <t>Quantity 100</t>
  </si>
  <si>
    <t>LCSC</t>
  </si>
  <si>
    <t>Unit Cost(100)</t>
  </si>
  <si>
    <t>Total Cost(100)</t>
  </si>
  <si>
    <t>LCSC/MOQ(5)</t>
  </si>
  <si>
    <t>LCSC/MOQ(100)</t>
  </si>
  <si>
    <t>Bourns</t>
  </si>
  <si>
    <t>tti</t>
  </si>
  <si>
    <t>BOOMELE</t>
  </si>
  <si>
    <t>220R</t>
  </si>
  <si>
    <t>Molex</t>
  </si>
  <si>
    <t>----</t>
  </si>
  <si>
    <t>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</si>
</sst>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_);[Red]\(&quot;$&quot;#,##0.0000\)"/>
  </numFmts>
  <fonts count="7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u/>
      <sz val="11"/>
      <color rgb="FF0000FF"/>
      <name val="Calibri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6" fillId="0" borderId="7" xfId="0" quotePrefix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quotePrefix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1" xfId="0" quotePrefix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quotePrefix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9" xfId="0" quotePrefix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5" fillId="0" borderId="9" xfId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/>
    </xf>
    <xf numFmtId="164" fontId="6" fillId="0" borderId="13" xfId="0" applyNumberFormat="1" applyFont="1" applyBorder="1" applyAlignment="1">
      <alignment horizontal="center" vertical="center"/>
    </xf>
    <xf numFmtId="0" fontId="5" fillId="0" borderId="13" xfId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/>
    </xf>
    <xf numFmtId="0" fontId="0" fillId="0" borderId="8" xfId="0" quotePrefix="1" applyBorder="1" applyAlignment="1"/>
    <xf numFmtId="0" fontId="0" fillId="0" borderId="6" xfId="0" quotePrefix="1" applyBorder="1" applyAlignment="1">
      <alignment wrapText="1"/>
    </xf>
    <xf numFmtId="0" fontId="0" fillId="0" borderId="10" xfId="0" quotePrefix="1" applyBorder="1" applyAlignment="1"/>
    <xf numFmtId="0" fontId="0" fillId="0" borderId="12" xfId="0" quotePrefix="1" applyBorder="1" applyAlignment="1"/>
    <xf numFmtId="0" fontId="0" fillId="0" borderId="13" xfId="0" applyBorder="1" applyAlignment="1">
      <alignment horizontal="center" vertical="center"/>
    </xf>
    <xf numFmtId="0" fontId="6" fillId="0" borderId="9" xfId="0" quotePrefix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/>
    </xf>
    <xf numFmtId="0" fontId="6" fillId="0" borderId="22" xfId="0" quotePrefix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csc.com/product-detail/Audio-Connectors_BOOMELE-Boom-Precision-Elec-PJ-307C_C16684.html" TargetMode="External"/><Relationship Id="rId2" Type="http://schemas.openxmlformats.org/officeDocument/2006/relationships/hyperlink" Target="https://www.tti.com/content/ttiinc/en/apps/part-detail.html?partsNumber=4608X-102-221LF&amp;mfgShortname=BOU&amp;utm=ECIA" TargetMode="External"/><Relationship Id="rId1" Type="http://schemas.openxmlformats.org/officeDocument/2006/relationships/hyperlink" Target="https://lcsc.com/product-detail/Wire-To-Board-Wire-To-Wire-Connector_XFCN-M3960R-05P_C492523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molex/0009483054/863356?WT.z_cid=ref_neda_dkc_buynow&amp;utm_source=ecia&amp;utm_medium=aggregator&amp;utm_campaign=buy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zoomScaleNormal="100" workbookViewId="0">
      <selection activeCell="C20" sqref="C20"/>
    </sheetView>
  </sheetViews>
  <sheetFormatPr defaultColWidth="9.140625" defaultRowHeight="15"/>
  <cols>
    <col min="1" max="1" width="6.140625" bestFit="1" customWidth="1"/>
    <col min="2" max="2" width="13.140625" customWidth="1"/>
    <col min="3" max="3" width="60.85546875" customWidth="1"/>
    <col min="4" max="4" width="21.28515625" style="26" customWidth="1"/>
    <col min="5" max="5" width="20" style="26" customWidth="1"/>
    <col min="6" max="6" width="27.28515625" style="26" customWidth="1"/>
    <col min="7" max="7" width="14.140625" customWidth="1"/>
    <col min="8" max="8" width="17.28515625" customWidth="1"/>
    <col min="9" max="9" width="14.42578125" customWidth="1"/>
    <col min="10" max="10" width="18.28515625" customWidth="1"/>
    <col min="11" max="11" width="10.85546875" customWidth="1"/>
    <col min="12" max="12" width="12.140625" bestFit="1" customWidth="1"/>
    <col min="13" max="13" width="13.28515625" bestFit="1" customWidth="1"/>
    <col min="14" max="14" width="15.28515625" bestFit="1" customWidth="1"/>
    <col min="15" max="15" width="15" customWidth="1"/>
    <col min="16" max="16" width="12.42578125" customWidth="1"/>
    <col min="17" max="17" width="13" customWidth="1"/>
    <col min="18" max="18" width="13.7109375" bestFit="1" customWidth="1"/>
    <col min="19" max="19" width="14.28515625" bestFit="1" customWidth="1"/>
    <col min="20" max="20" width="24" customWidth="1"/>
  </cols>
  <sheetData>
    <row r="1" spans="1:20" ht="15.75">
      <c r="A1" s="44" t="s">
        <v>36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</row>
    <row r="2" spans="1:20" ht="15.75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39</v>
      </c>
      <c r="M2" s="2" t="s">
        <v>43</v>
      </c>
      <c r="N2" s="2" t="s">
        <v>44</v>
      </c>
      <c r="O2" s="5" t="s">
        <v>11</v>
      </c>
      <c r="P2" s="2" t="s">
        <v>12</v>
      </c>
      <c r="Q2" s="2" t="s">
        <v>13</v>
      </c>
      <c r="R2" s="2" t="s">
        <v>41</v>
      </c>
      <c r="S2" s="2" t="s">
        <v>42</v>
      </c>
      <c r="T2" s="2" t="s">
        <v>14</v>
      </c>
    </row>
    <row r="3" spans="1:20" ht="15.75" thickBot="1">
      <c r="A3" s="3">
        <v>1</v>
      </c>
      <c r="B3" s="4" t="s">
        <v>17</v>
      </c>
      <c r="C3" s="40" t="s">
        <v>33</v>
      </c>
      <c r="D3" s="29" t="s">
        <v>34</v>
      </c>
      <c r="E3" s="29" t="s">
        <v>16</v>
      </c>
      <c r="F3" s="30" t="s">
        <v>35</v>
      </c>
      <c r="G3" s="41" t="s">
        <v>45</v>
      </c>
      <c r="H3" s="21" t="s">
        <v>38</v>
      </c>
      <c r="I3" s="21" t="s">
        <v>48</v>
      </c>
      <c r="J3" s="22">
        <v>1</v>
      </c>
      <c r="K3" s="23">
        <f>J3*5</f>
        <v>5</v>
      </c>
      <c r="L3" s="23">
        <f>J3*100</f>
        <v>100</v>
      </c>
      <c r="M3" s="23">
        <v>100</v>
      </c>
      <c r="N3" s="23">
        <v>100</v>
      </c>
      <c r="O3" s="32" t="s">
        <v>46</v>
      </c>
      <c r="P3" s="31">
        <v>0.19800000000000001</v>
      </c>
      <c r="Q3" s="31">
        <f>P3*M3</f>
        <v>19.8</v>
      </c>
      <c r="R3" s="31">
        <v>0.19800000000000001</v>
      </c>
      <c r="S3" s="31">
        <f>R3*N3</f>
        <v>19.8</v>
      </c>
      <c r="T3" s="24"/>
    </row>
    <row r="4" spans="1:20" ht="30.75" thickBot="1">
      <c r="A4" s="3">
        <v>2</v>
      </c>
      <c r="B4" s="47" t="s">
        <v>21</v>
      </c>
      <c r="C4" s="38" t="s">
        <v>22</v>
      </c>
      <c r="D4" s="33" t="s">
        <v>18</v>
      </c>
      <c r="E4" s="33" t="s">
        <v>16</v>
      </c>
      <c r="F4" s="33" t="s">
        <v>23</v>
      </c>
      <c r="G4" s="7" t="s">
        <v>37</v>
      </c>
      <c r="H4" s="51" t="s">
        <v>15</v>
      </c>
      <c r="I4" s="51" t="s">
        <v>38</v>
      </c>
      <c r="J4" s="8">
        <v>1</v>
      </c>
      <c r="K4" s="9">
        <f t="shared" ref="K4:K7" si="0">J4*5</f>
        <v>5</v>
      </c>
      <c r="L4" s="9">
        <f>J4*100</f>
        <v>100</v>
      </c>
      <c r="M4" s="9">
        <v>5</v>
      </c>
      <c r="N4" s="9">
        <v>100</v>
      </c>
      <c r="O4" s="34" t="s">
        <v>40</v>
      </c>
      <c r="P4" s="10">
        <v>0.12479999999999999</v>
      </c>
      <c r="Q4" s="10">
        <f>P4*M4</f>
        <v>0.624</v>
      </c>
      <c r="R4" s="10">
        <v>0.1013</v>
      </c>
      <c r="S4" s="10">
        <f>R4*N4</f>
        <v>10.130000000000001</v>
      </c>
      <c r="T4" s="11"/>
    </row>
    <row r="5" spans="1:20" ht="15.75" thickBot="1">
      <c r="A5" s="3">
        <v>3</v>
      </c>
      <c r="B5" s="48"/>
      <c r="C5" s="37" t="s">
        <v>24</v>
      </c>
      <c r="D5" s="27" t="s">
        <v>25</v>
      </c>
      <c r="E5" s="27" t="s">
        <v>16</v>
      </c>
      <c r="F5" s="25" t="s">
        <v>26</v>
      </c>
      <c r="G5" s="12" t="s">
        <v>49</v>
      </c>
      <c r="H5" s="12" t="s">
        <v>15</v>
      </c>
      <c r="I5" s="12" t="s">
        <v>15</v>
      </c>
      <c r="J5" s="13">
        <v>1</v>
      </c>
      <c r="K5" s="14">
        <f t="shared" si="0"/>
        <v>5</v>
      </c>
      <c r="L5" s="14">
        <f t="shared" ref="L5:L7" si="1">J5*100</f>
        <v>100</v>
      </c>
      <c r="M5" s="42" t="s">
        <v>50</v>
      </c>
      <c r="N5" s="42" t="s">
        <v>50</v>
      </c>
      <c r="O5" s="28" t="s">
        <v>51</v>
      </c>
      <c r="P5" s="15">
        <v>1.47</v>
      </c>
      <c r="Q5" s="15">
        <f>P5*K5</f>
        <v>7.35</v>
      </c>
      <c r="R5" s="15">
        <v>1.03738</v>
      </c>
      <c r="S5" s="15">
        <f>R5*L5</f>
        <v>103.738</v>
      </c>
      <c r="T5" s="16"/>
    </row>
    <row r="6" spans="1:20" ht="15.75" thickBot="1">
      <c r="A6" s="3">
        <v>4</v>
      </c>
      <c r="B6" s="48"/>
      <c r="C6" s="37" t="s">
        <v>27</v>
      </c>
      <c r="D6" s="27" t="s">
        <v>28</v>
      </c>
      <c r="E6" s="27" t="s">
        <v>16</v>
      </c>
      <c r="F6" s="25" t="s">
        <v>29</v>
      </c>
      <c r="G6" s="12" t="s">
        <v>47</v>
      </c>
      <c r="H6" s="12" t="s">
        <v>15</v>
      </c>
      <c r="I6" s="12" t="s">
        <v>15</v>
      </c>
      <c r="J6" s="13">
        <v>2</v>
      </c>
      <c r="K6" s="14">
        <f t="shared" si="0"/>
        <v>10</v>
      </c>
      <c r="L6" s="14">
        <f t="shared" si="1"/>
        <v>200</v>
      </c>
      <c r="M6" s="14">
        <v>10</v>
      </c>
      <c r="N6" s="14">
        <v>200</v>
      </c>
      <c r="O6" s="28" t="s">
        <v>40</v>
      </c>
      <c r="P6" s="15">
        <v>4.7100000000000003E-2</v>
      </c>
      <c r="Q6" s="15">
        <f t="shared" ref="Q5:Q6" si="2">P6*M6</f>
        <v>0.47100000000000003</v>
      </c>
      <c r="R6" s="15">
        <v>3.8199999999999998E-2</v>
      </c>
      <c r="S6" s="15">
        <f t="shared" ref="S5:S6" si="3">R6*N6</f>
        <v>7.64</v>
      </c>
      <c r="T6" s="16"/>
    </row>
    <row r="7" spans="1:20" ht="15.75" thickBot="1">
      <c r="A7" s="3">
        <v>5</v>
      </c>
      <c r="B7" s="49"/>
      <c r="C7" s="39" t="s">
        <v>30</v>
      </c>
      <c r="D7" s="35" t="s">
        <v>31</v>
      </c>
      <c r="E7" s="35" t="s">
        <v>16</v>
      </c>
      <c r="F7" s="36" t="s">
        <v>32</v>
      </c>
      <c r="G7" s="17" t="s">
        <v>15</v>
      </c>
      <c r="H7" s="17" t="s">
        <v>15</v>
      </c>
      <c r="I7" s="17" t="s">
        <v>15</v>
      </c>
      <c r="J7" s="18">
        <v>1</v>
      </c>
      <c r="K7" s="19">
        <f t="shared" si="0"/>
        <v>5</v>
      </c>
      <c r="L7" s="19">
        <f t="shared" si="1"/>
        <v>100</v>
      </c>
      <c r="M7" s="17" t="s">
        <v>15</v>
      </c>
      <c r="N7" s="17" t="s">
        <v>15</v>
      </c>
      <c r="O7" s="17" t="s">
        <v>15</v>
      </c>
      <c r="P7" s="17" t="s">
        <v>15</v>
      </c>
      <c r="Q7" s="17" t="s">
        <v>15</v>
      </c>
      <c r="R7" s="17" t="s">
        <v>15</v>
      </c>
      <c r="S7" s="17" t="s">
        <v>15</v>
      </c>
      <c r="T7" s="20"/>
    </row>
    <row r="8" spans="1:20" ht="19.5" thickBot="1">
      <c r="J8" s="50" t="s">
        <v>19</v>
      </c>
      <c r="K8" s="50"/>
      <c r="L8" s="50"/>
      <c r="M8" s="50"/>
      <c r="N8" s="50"/>
      <c r="Q8" s="6">
        <f>SUM(Q3:Q7)</f>
        <v>28.245000000000001</v>
      </c>
      <c r="R8" s="6"/>
      <c r="S8" s="6">
        <f>SUM(S3:S7)</f>
        <v>141.30799999999999</v>
      </c>
    </row>
    <row r="9" spans="1:20" ht="18.75">
      <c r="J9" s="43" t="s">
        <v>20</v>
      </c>
      <c r="K9" s="43"/>
      <c r="L9" s="43"/>
      <c r="M9" s="43"/>
      <c r="N9" s="43"/>
      <c r="Q9" s="6">
        <f>Q8/5</f>
        <v>5.649</v>
      </c>
      <c r="R9" s="6"/>
      <c r="S9" s="6">
        <f>S8/100</f>
        <v>1.4130799999999999</v>
      </c>
    </row>
  </sheetData>
  <mergeCells count="4">
    <mergeCell ref="J9:N9"/>
    <mergeCell ref="A1:T1"/>
    <mergeCell ref="B4:B7"/>
    <mergeCell ref="J8:N8"/>
  </mergeCells>
  <conditionalFormatting sqref="Q9:S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{8075F51B-85FE-4B82-99A4-F8B9281869D4}</x14:id>
        </ext>
      </extLst>
    </cfRule>
  </conditionalFormatting>
  <conditionalFormatting sqref="Q5:S6 Q3:Q6 S3:S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{15D60AC5-9B89-492C-8909-06C2B35856DC}</x14:id>
        </ext>
      </extLst>
    </cfRule>
  </conditionalFormatting>
  <conditionalFormatting sqref="J3:N6 J7:L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O4" r:id="rId1" xr:uid="{C4B44CEF-8ACA-45E4-91B1-7C12446777F7}"/>
    <hyperlink ref="O3" r:id="rId2" xr:uid="{0643A8C6-CEA2-46D4-9500-B4485B58464A}"/>
    <hyperlink ref="O6" r:id="rId3" xr:uid="{3F43E43A-3027-4A26-84D2-E6164C8EDD4F}"/>
    <hyperlink ref="O5" r:id="rId4" xr:uid="{87407D3B-C853-4F42-AAAA-F2A4FF2A1E59}"/>
  </hyperlinks>
  <pageMargins left="0.75" right="0.75" top="1" bottom="1" header="0.5" footer="0.5"/>
  <pageSetup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75F51B-85FE-4B82-99A4-F8B9281869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Q9:S9</xm:sqref>
        </x14:conditionalFormatting>
        <x14:conditionalFormatting xmlns:xm="http://schemas.microsoft.com/office/excel/2006/main">
          <x14:cfRule type="dataBar" id="{15D60AC5-9B89-492C-8909-06C2B3585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Q5:S6 Q3:Q6 S3:S6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HP</cp:lastModifiedBy>
  <dcterms:created xsi:type="dcterms:W3CDTF">2022-03-16T14:26:00Z</dcterms:created>
  <dcterms:modified xsi:type="dcterms:W3CDTF">2022-03-24T15:54:15Z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5BAC6B7B63754BDEA88C017011FF92D9</vt:lpwstr>
  </property>
  <property fmtid="{D5CDD505-2E9C-101B-9397-08002B2CF9AE}" pid="3" name="KSOProductBuildVer">
    <vt:lpwstr>1033-11.2.0.11029</vt:lpwstr>
  </property>
</Properties>
</file>